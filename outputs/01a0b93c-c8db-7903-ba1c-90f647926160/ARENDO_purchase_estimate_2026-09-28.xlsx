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402b6b5e0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мета" sheetId="1" r:id="Rd283b6ca47ba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 &quot;KZT&quot;"/>
  </x:numFmts>
  <x:fonts count="7">
    <x:font>
      <x:sz val="11"/>
      <x:name val="Carlito"/>
    </x:font>
    <x:font>
      <x:b/>
      <x:sz val="17"/>
      <x:color rgb="FFFFFFFF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7365D"/>
      <x:name val="Arial"/>
    </x:font>
    <x:font>
      <x:b/>
      <x:sz val="10"/>
      <x:color rgb="FF1221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213A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DDF2E1"/>
      </x:patternFill>
    </x:fill>
  </x:fills>
  <x:borders count="6">
    <x:border/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200" fontId="4" fillId="0" borderId="0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200" fontId="4" fillId="0" borderId="1" xfId="0" applyNumberFormat="1" applyFont="1" applyFill="1" applyBorder="1" applyAlignment="1">
      <x:alignment horizontal="righ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right" vertical="center" wrapText="1"/>
    </x:xf>
    <x:xf numFmtId="200" fontId="4" fillId="0" borderId="2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horizontal="right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horizontal="right"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horizontal="right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horizontal="right"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201" fontId="6" fillId="5" borderId="5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97e082b994da3" /><Relationship Type="http://schemas.openxmlformats.org/officeDocument/2006/relationships/theme" Target="/xl/theme/theme1.xml" Id="Rfd9eb9b6b0294030" /><Relationship Type="http://schemas.openxmlformats.org/officeDocument/2006/relationships/sharedStrings" Target="/xl/sharedStrings.xml" Id="R4fe0ce950d804d04" /><Relationship Type="http://schemas.openxmlformats.org/officeDocument/2006/relationships/worksheet" Target="/xl/worksheets/sheet1.xml" Id="Rd283b6ca47ba4e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55" hidden="0" customWidth="1"/>
    <x:col min="3" max="3" width="16" hidden="0" customWidth="1"/>
    <x:col min="4" max="4" width="20" hidden="0" customWidth="1"/>
    <x:col min="5" max="5" width="13" hidden="0" customWidth="1"/>
    <x:col min="6" max="6" width="19" hidden="0" customWidth="1"/>
  </x:cols>
  <x:sheetData>
    <x:row r="1" ht="30" customHeight="1">
      <x:c r="A1" s="3" t="str">
        <x:v>ARENDO | Смета закупки</x:v>
      </x:c>
      <x:c r="B1" s="3"/>
      <x:c r="C1" s="3"/>
      <x:c r="D1" s="3"/>
      <x:c r="E1" s="3"/>
      <x:c r="F1" s="3"/>
    </x:row>
    <x:row r="2" ht="32" customHeight="1">
      <x:c r="A2" s="6" t="str">
        <x:v>Предварительный расчёт в тенге по курсу НБ РК на 28.09.2026; доставка и 5% на ИП включены.</x:v>
      </x:c>
      <x:c r="B2" s="6"/>
      <x:c r="C2" s="6"/>
      <x:c r="D2" s="6"/>
      <x:c r="E2" s="6"/>
      <x:c r="F2" s="6"/>
    </x:row>
    <x:row r="3">
      <x:c r="A3" s="40"/>
      <x:c r="B3" s="40"/>
      <x:c r="C3" s="40"/>
      <x:c r="D3" s="40"/>
      <x:c r="E3" s="40"/>
      <x:c r="F3" s="40"/>
    </x:row>
    <x:row r="4" ht="34" customHeight="1">
      <x:c r="A4" s="11" t="str">
        <x:v>№</x:v>
      </x:c>
      <x:c r="B4" s="11" t="str">
        <x:v>Позиция</x:v>
      </x:c>
      <x:c r="C4" s="11" t="str">
        <x:v>Количество</x:v>
      </x:c>
      <x:c r="D4" s="11" t="str">
        <x:v>Цена за единицу</x:v>
      </x:c>
      <x:c r="E4" s="11" t="str">
        <x:v>Валюта</x:v>
      </x:c>
      <x:c r="F4" s="11" t="str">
        <x:v>Сумма</x:v>
      </x:c>
    </x:row>
    <x:row r="5" ht="32" customHeight="1">
      <x:c r="A5" s="18" t="n">
        <x:v>1</x:v>
      </x:c>
      <x:c r="B5" s="19" t="str">
        <x:v>PLK на RK3568, 4 ГБ / 32 ГБ</x:v>
      </x:c>
      <x:c r="C5" s="20" t="n">
        <x:v>1</x:v>
      </x:c>
      <x:c r="D5" s="21" t="n">
        <x:v>575</x:v>
      </x:c>
      <x:c r="E5" s="20" t="str">
        <x:v>CNY</x:v>
      </x:c>
      <x:c r="F5" s="21" t="n">
        <x:f>C5*D5</x:f>
        <x:v>575</x:v>
      </x:c>
    </x:row>
    <x:row r="6" ht="32" customHeight="1">
      <x:c r="A6" s="22" t="n">
        <x:v>2</x:v>
      </x:c>
      <x:c r="B6" s="23" t="str">
        <x:v>Modbus-модуль BSM1616RB, 16 входов / 16 выходов</x:v>
      </x:c>
      <x:c r="C6" s="24" t="n">
        <x:v>2</x:v>
      </x:c>
      <x:c r="D6" s="25" t="n">
        <x:v>97</x:v>
      </x:c>
      <x:c r="E6" s="24" t="str">
        <x:v>CNY</x:v>
      </x:c>
      <x:c r="F6" s="25" t="n">
        <x:f>C6*D6</x:f>
        <x:v>194</x:v>
      </x:c>
    </x:row>
    <x:row r="7" ht="32" customHeight="1">
      <x:c r="A7" s="22" t="n">
        <x:v>3</x:v>
      </x:c>
      <x:c r="B7" s="23" t="str">
        <x:v>Блок питания 12 В, 50 А (600 Вт)</x:v>
      </x:c>
      <x:c r="C7" s="24" t="n">
        <x:v>1</x:v>
      </x:c>
      <x:c r="D7" s="25" t="n">
        <x:v>135</x:v>
      </x:c>
      <x:c r="E7" s="24" t="str">
        <x:v>CNY</x:v>
      </x:c>
      <x:c r="F7" s="25" t="n">
        <x:f>C7*D7</x:f>
        <x:v>135</x:v>
      </x:c>
    </x:row>
    <x:row r="8" ht="32" customHeight="1">
      <x:c r="A8" s="22" t="n">
        <x:v>4</x:v>
      </x:c>
      <x:c r="B8" s="23" t="str">
        <x:v>Кабель 4×1,0 мм², катушка 200 м</x:v>
      </x:c>
      <x:c r="C8" s="24" t="n">
        <x:v>2</x:v>
      </x:c>
      <x:c r="D8" s="25" t="n">
        <x:v>146</x:v>
      </x:c>
      <x:c r="E8" s="24" t="str">
        <x:v>CNY</x:v>
      </x:c>
      <x:c r="F8" s="25" t="n">
        <x:f>C8*D8</x:f>
        <x:v>292</x:v>
      </x:c>
    </x:row>
    <x:row r="9" ht="32" customHeight="1">
      <x:c r="A9" s="22" t="n">
        <x:v>5</x:v>
      </x:c>
      <x:c r="B9" s="23" t="str">
        <x:v>Электрический замок 12 В / 2 А с обратным сигналом</x:v>
      </x:c>
      <x:c r="C9" s="24" t="n">
        <x:v>34</x:v>
      </x:c>
      <x:c r="D9" s="25" t="n">
        <x:v>30</x:v>
      </x:c>
      <x:c r="E9" s="24" t="str">
        <x:v>CNY</x:v>
      </x:c>
      <x:c r="F9" s="25" t="n">
        <x:f>C9*D9</x:f>
        <x:v>1020</x:v>
      </x:c>
    </x:row>
    <x:row r="10" ht="32" customHeight="1">
      <x:c r="A10" s="22" t="n">
        <x:v>6</x:v>
      </x:c>
      <x:c r="B10" s="23" t="str">
        <x:v>Расходники и коннекторы</x:v>
      </x:c>
      <x:c r="C10" s="24" t="n">
        <x:v>1</x:v>
      </x:c>
      <x:c r="D10" s="25" t="n">
        <x:v>30000</x:v>
      </x:c>
      <x:c r="E10" s="24" t="str">
        <x:v>KZT</x:v>
      </x:c>
      <x:c r="F10" s="25" t="n">
        <x:f>C10*D10</x:f>
        <x:v>30000</x:v>
      </x:c>
    </x:row>
    <x:row r="11">
      <x:c r="A11" s="40"/>
      <x:c r="B11" s="40"/>
      <x:c r="C11" s="40"/>
      <x:c r="D11" s="40"/>
      <x:c r="E11" s="40"/>
      <x:c r="F11" s="40"/>
    </x:row>
    <x:row r="12" ht="24" customHeight="1">
      <x:c r="A12" s="41" t="str">
        <x:v>Итоговый бюджет</x:v>
      </x:c>
      <x:c r="B12" s="41"/>
      <x:c r="C12" s="41"/>
      <x:c r="D12" s="41"/>
      <x:c r="E12" s="41"/>
      <x:c r="F12" s="41"/>
    </x:row>
    <x:row r="13" ht="29" customHeight="1">
      <x:c r="A13" s="30" t="str">
        <x:v>Официальный курс CNY/KZT на 28.09.2026</x:v>
      </x:c>
      <x:c r="B13" s="30" t="str"/>
      <x:c r="C13" s="31" t="n">
        <x:v>65.83</x:v>
      </x:c>
      <x:c r="D13" s="30" t="str">
        <x:v>KZT за 1 CNY · источник: НБ РК</x:v>
      </x:c>
      <x:c r="E13" s="30"/>
      <x:c r="F13" s="30"/>
    </x:row>
    <x:row r="14" ht="29" customHeight="1">
      <x:c r="A14" s="32" t="str">
        <x:v>Оборудование и замки в тенге</x:v>
      </x:c>
      <x:c r="B14" s="32" t="str"/>
      <x:c r="C14" s="33" t="n">
        <x:f>SUM(F5:F9)*C13</x:f>
        <x:v>145879.28</x:v>
      </x:c>
      <x:c r="D14" s="32" t="str">
        <x:v>Оборудование: 2 216 CNY × курс НБ РК</x:v>
      </x:c>
      <x:c r="E14" s="32"/>
      <x:c r="F14" s="32"/>
    </x:row>
    <x:row r="15" ht="29" customHeight="1">
      <x:c r="A15" s="32" t="str">
        <x:v>Расходники и коннекторы</x:v>
      </x:c>
      <x:c r="B15" s="32" t="str"/>
      <x:c r="C15" s="33" t="n">
        <x:f>F10</x:f>
        <x:v>30000</x:v>
      </x:c>
      <x:c r="D15" s="32" t="str">
        <x:v>Сумма, сообщённая заказчиком</x:v>
      </x:c>
      <x:c r="E15" s="32"/>
      <x:c r="F15" s="32"/>
    </x:row>
    <x:row r="16" ht="29" customHeight="1">
      <x:c r="A16" s="32" t="str">
        <x:v>Доставка (резерв)</x:v>
      </x:c>
      <x:c r="B16" s="32" t="str"/>
      <x:c r="C16" s="33" t="n">
        <x:f>30000</x:f>
        <x:v>30000</x:v>
      </x:c>
      <x:c r="D16" s="32" t="str">
        <x:v>Резерв доставки: 30 000 KZT</x:v>
      </x:c>
      <x:c r="E16" s="32"/>
      <x:c r="F16" s="32"/>
    </x:row>
    <x:row r="17" ht="29" customHeight="1">
      <x:c r="A17" s="32" t="str">
        <x:v>База для расчёта ИП</x:v>
      </x:c>
      <x:c r="B17" s="32" t="str"/>
      <x:c r="C17" s="33" t="n">
        <x:f>SUM(C14:C16)</x:f>
        <x:v>205879.28</x:v>
      </x:c>
      <x:c r="D17" s="32" t="str">
        <x:v>Оборудование + расходники + доставка</x:v>
      </x:c>
      <x:c r="E17" s="32"/>
      <x:c r="F17" s="32"/>
    </x:row>
    <x:row r="18" ht="29" customHeight="1">
      <x:c r="A18" s="32" t="str">
        <x:v>ИП, 5% от базы</x:v>
      </x:c>
      <x:c r="B18" s="32" t="str"/>
      <x:c r="C18" s="33" t="n">
        <x:f>C17*5%</x:f>
        <x:v>10293.964</x:v>
      </x:c>
      <x:c r="D18" s="32" t="str">
        <x:v>5% на ИП, по указанию заказчика</x:v>
      </x:c>
      <x:c r="E18" s="32"/>
      <x:c r="F18" s="32"/>
    </x:row>
    <x:row r="19" ht="29" customHeight="1">
      <x:c r="A19" s="38" t="str">
        <x:v>ИТОГО К ОПЛАТЕ / БЮДЖЕТ</x:v>
      </x:c>
      <x:c r="B19" s="38" t="str"/>
      <x:c r="C19" s="39" t="n">
        <x:f>C17+C18</x:f>
        <x:v>216173.244</x:v>
      </x:c>
      <x:c r="D19" s="38" t="str">
        <x:v>Закупка + расходники + доставка + 5% на ИП</x:v>
      </x:c>
      <x:c r="E19" s="38"/>
      <x:c r="F19" s="38"/>
    </x:row>
  </x:sheetData>
  <x:mergeCells>
    <x:mergeCell ref="A1:F1"/>
    <x:mergeCell ref="A2:F2"/>
    <x:mergeCell ref="A12:F12"/>
    <x:mergeCell ref="A13:B13"/>
    <x:mergeCell ref="A14:B14"/>
    <x:mergeCell ref="A15:B15"/>
    <x:mergeCell ref="A16:B16"/>
    <x:mergeCell ref="A17:B17"/>
    <x:mergeCell ref="A18:B18"/>
    <x:mergeCell ref="A19:B19"/>
    <x:mergeCell ref="D13:F13"/>
    <x:mergeCell ref="D14:F14"/>
    <x:mergeCell ref="D15:F15"/>
    <x:mergeCell ref="D16:F16"/>
    <x:mergeCell ref="D17:F17"/>
    <x:mergeCell ref="D18:F18"/>
    <x:mergeCell ref="D19:F19"/>
  </x:mergeCells>
  <x:pageMargins left="0.7" right="0.7" top="0.75" bottom="0.75" header="0.3" footer="0.3"/>
</x:worksheet>
</file>